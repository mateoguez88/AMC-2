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dom-my.sharepoint.com/personal/mateo_rodriguez_idom_com/Documents/Escritorio/AMC/"/>
    </mc:Choice>
  </mc:AlternateContent>
  <xr:revisionPtr revIDLastSave="135" documentId="8_{BDD52609-6451-448B-B925-CECF2B79A2FF}" xr6:coauthVersionLast="47" xr6:coauthVersionMax="47" xr10:uidLastSave="{F49424B3-AA7A-442D-9303-F1D25F467EF0}"/>
  <bookViews>
    <workbookView xWindow="-25320" yWindow="-4305" windowWidth="25440" windowHeight="15270" activeTab="4" xr2:uid="{00000000-000D-0000-FFFF-FFFF00000000}"/>
  </bookViews>
  <sheets>
    <sheet name="INSTRUCCIONES" sheetId="1" r:id="rId1"/>
    <sheet name="ALTERNATIVAS" sheetId="2" r:id="rId2"/>
    <sheet name="INDICADORES" sheetId="3" r:id="rId3"/>
    <sheet name="VALORES" sheetId="4" r:id="rId4"/>
    <sheet name="Priorización" sheetId="5" r:id="rId5"/>
    <sheet name="OBJETIVOS" sheetId="6" r:id="rId6"/>
    <sheet name="RESUME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 a="1"/>
  <c r="B4" i="4" s="1"/>
  <c r="I11" i="5"/>
  <c r="J11" i="5"/>
  <c r="K11" i="5"/>
  <c r="J12" i="5"/>
  <c r="K12" i="5"/>
  <c r="D14" i="5"/>
  <c r="J10" i="5"/>
  <c r="J8" i="5"/>
  <c r="K8" i="5"/>
  <c r="K7" i="5"/>
  <c r="J7" i="5"/>
  <c r="I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<sst xmlns="http://schemas.openxmlformats.org/spreadsheetml/2006/main" count="278" uniqueCount="160">
  <si>
    <t>AMC - MODELO DE ANALISIS MULTICRITERIO</t>
  </si>
  <si>
    <t>Este archivo contiene los inputs clave para ejecutar el analisis multicriterio.</t>
  </si>
  <si>
    <t>Las celdas en VERDE son editables. Las celdas en GRIS son calculadas o de referencia.</t>
  </si>
  <si>
    <t>HOJAS DEL MODELO:</t>
  </si>
  <si>
    <t xml:space="preserve">  1. ALTERNATIVAS  → Definir las alternativas a evaluar</t>
  </si>
  <si>
    <t xml:space="preserve">  2. INDICADORES   → Definir indicadores, sus unidades, tipo y pesos</t>
  </si>
  <si>
    <t xml:space="preserve">  3. VALORES       → Ingresar los valores de cada alternativa por indicador</t>
  </si>
  <si>
    <t xml:space="preserve">  4. VISIONES      → Definir visiones y sus ponderaciones</t>
  </si>
  <si>
    <t xml:space="preserve">  5. OBJETIVOS     → Definir objetivos por vision</t>
  </si>
  <si>
    <t xml:space="preserve">  6. AHP           → Matriz de comparacion pareada AHP (opcional)</t>
  </si>
  <si>
    <t>FLUJO DE TRABAJO:</t>
  </si>
  <si>
    <t xml:space="preserve">  1. Completar ALTERNATIVAS con los nombres de sus alternativas</t>
  </si>
  <si>
    <t xml:space="preserve">  2. Ajustar INDICADORES: agregar/quitar, definir tipo SUMA/RESTA y pesos</t>
  </si>
  <si>
    <t xml:space="preserve">  3. Llenar VALORES con los datos reales de cada alternativa</t>
  </si>
  <si>
    <t xml:space="preserve">  4. Ajustar pesos de VISIONES (deben sumar 1.0)</t>
  </si>
  <si>
    <t xml:space="preserve">  5. (Opcional) Completar la matriz AHP para pesos por comparacion pareada</t>
  </si>
  <si>
    <t xml:space="preserve">  6. Cargar este archivo en la app Streamlit: streamlit run app/main.py</t>
  </si>
  <si>
    <t>CONVENCIONES:</t>
  </si>
  <si>
    <t xml:space="preserve">  SUMA  = indicador de beneficio (mayor es mejor)</t>
  </si>
  <si>
    <t xml:space="preserve">  RESTA = indicador de costo (menor es mejor)</t>
  </si>
  <si>
    <t xml:space="preserve">  Los pesos de indicadores deben sumar 1.0 (se normalizan automaticamente)</t>
  </si>
  <si>
    <t>ID</t>
  </si>
  <si>
    <t>NOMBRE</t>
  </si>
  <si>
    <t>ALT01</t>
  </si>
  <si>
    <t>ALT02</t>
  </si>
  <si>
    <t>ALT03</t>
  </si>
  <si>
    <t>ALT04</t>
  </si>
  <si>
    <t>ALT05</t>
  </si>
  <si>
    <t>Para agregar mas alternativas:</t>
  </si>
  <si>
    <t>Insertar filas con ID (ALT06, ALT07...) y nombre</t>
  </si>
  <si>
    <t>TABLA DE INDICADORES</t>
  </si>
  <si>
    <t>Definir los indicadores del modelo AMC</t>
  </si>
  <si>
    <t>Celdas VERDES = editables</t>
  </si>
  <si>
    <t>ID VISION</t>
  </si>
  <si>
    <t>ID OBJETIVO</t>
  </si>
  <si>
    <t>INDICADOR</t>
  </si>
  <si>
    <t>UNIDAD</t>
  </si>
  <si>
    <t>SUMA O RESTA</t>
  </si>
  <si>
    <t>PESO_LINEAL</t>
  </si>
  <si>
    <t>PESO_PONDERADO</t>
  </si>
  <si>
    <t>IND01</t>
  </si>
  <si>
    <t>V1</t>
  </si>
  <si>
    <t>OBJ01</t>
  </si>
  <si>
    <t>SUMA</t>
  </si>
  <si>
    <t>IND02</t>
  </si>
  <si>
    <t>RESTA</t>
  </si>
  <si>
    <t>IND03</t>
  </si>
  <si>
    <t>OBJ02</t>
  </si>
  <si>
    <t>IND04</t>
  </si>
  <si>
    <t>IND05</t>
  </si>
  <si>
    <t>V2</t>
  </si>
  <si>
    <t>OBJ03</t>
  </si>
  <si>
    <t>IND06</t>
  </si>
  <si>
    <t>IND07</t>
  </si>
  <si>
    <t>IND08</t>
  </si>
  <si>
    <t>V3</t>
  </si>
  <si>
    <t>OBJ04</t>
  </si>
  <si>
    <t>IND09</t>
  </si>
  <si>
    <t>IND10</t>
  </si>
  <si>
    <t>OBJ05</t>
  </si>
  <si>
    <t>IND11</t>
  </si>
  <si>
    <t>IND12</t>
  </si>
  <si>
    <t>V4</t>
  </si>
  <si>
    <t>OBJ06</t>
  </si>
  <si>
    <t>IND13</t>
  </si>
  <si>
    <t>IND14</t>
  </si>
  <si>
    <t>IND15</t>
  </si>
  <si>
    <t>OBJ07</t>
  </si>
  <si>
    <t>IND16</t>
  </si>
  <si>
    <t>IND17</t>
  </si>
  <si>
    <t>OBJ08</t>
  </si>
  <si>
    <t>IND18</t>
  </si>
  <si>
    <t>MATRIZ DE VALORES</t>
  </si>
  <si>
    <t>Ingresar valores de cada alternativa por indicador (celdas VERDES)</t>
  </si>
  <si>
    <t>ID ALTERNATIVA</t>
  </si>
  <si>
    <t>PRIORIZACION DE VISIONES</t>
  </si>
  <si>
    <t>Configuracion del escenario:</t>
  </si>
  <si>
    <t>Base</t>
  </si>
  <si>
    <t>Medio plazo</t>
  </si>
  <si>
    <t>← Escenario / Plazo (editables)</t>
  </si>
  <si>
    <t>Ajustar las ponderaciones (deben sumar 1.0)</t>
  </si>
  <si>
    <t>VISION</t>
  </si>
  <si>
    <t>DESCRIPCION</t>
  </si>
  <si>
    <t>PONDERACION</t>
  </si>
  <si>
    <t>PONDERACION LINEAL</t>
  </si>
  <si>
    <t>PONDERACION PONDERADA</t>
  </si>
  <si>
    <t>TIPO PONDERACION</t>
  </si>
  <si>
    <t>PONDERADA</t>
  </si>
  <si>
    <t>SUMA:</t>
  </si>
  <si>
    <t>OBJETIVOS POR VISION</t>
  </si>
  <si>
    <t>OBJETIVO</t>
  </si>
  <si>
    <t>RESUMEN DEL MODELO</t>
  </si>
  <si>
    <t>Parametro</t>
  </si>
  <si>
    <t>Valor</t>
  </si>
  <si>
    <t>Numero de alternativas</t>
  </si>
  <si>
    <t>Numero de indicadores</t>
  </si>
  <si>
    <t>Numero de visiones</t>
  </si>
  <si>
    <t>Numero de objetivos</t>
  </si>
  <si>
    <t>Indicadores beneficio (SUMA)</t>
  </si>
  <si>
    <t>Indicadores costo (RESTA)</t>
  </si>
  <si>
    <t>DISTRIBUCION DE PESOS POR VISION</t>
  </si>
  <si>
    <t>Vision</t>
  </si>
  <si>
    <t>Peso</t>
  </si>
  <si>
    <t>% Total</t>
  </si>
  <si>
    <t>V1 - Ambiental</t>
  </si>
  <si>
    <t>V2 - Social</t>
  </si>
  <si>
    <t>V3 - Economica</t>
  </si>
  <si>
    <t>V4 - Tecnica</t>
  </si>
  <si>
    <t>V5 - Territorial</t>
  </si>
  <si>
    <t>V6 - Gobernanza</t>
  </si>
  <si>
    <t>V7 - Riesgo</t>
  </si>
  <si>
    <t>V8 - Innovacion</t>
  </si>
  <si>
    <t>Diesel</t>
  </si>
  <si>
    <t>Carga Nocturna eléctrica</t>
  </si>
  <si>
    <t>Carga por oportunidad eléctrica</t>
  </si>
  <si>
    <t>Carga Flash eléctrica</t>
  </si>
  <si>
    <t>ALT06</t>
  </si>
  <si>
    <t>Hidrogeno externo</t>
  </si>
  <si>
    <t>Hidrogeno interno</t>
  </si>
  <si>
    <t>Autonomía</t>
  </si>
  <si>
    <t>-</t>
  </si>
  <si>
    <t>kwh</t>
  </si>
  <si>
    <t>EUR</t>
  </si>
  <si>
    <t>km</t>
  </si>
  <si>
    <t>Maximizar aceptación y beneficio social.</t>
  </si>
  <si>
    <t>Maximizar factibilidad técnica y confiabilidad operativa.</t>
  </si>
  <si>
    <t> Maximizar ajuste a la demanda y al nivel de servicio.</t>
  </si>
  <si>
    <t>Minimizar costo total y riesgo financiero.</t>
  </si>
  <si>
    <t>Tecnología</t>
  </si>
  <si>
    <t>Financiero</t>
  </si>
  <si>
    <t>Economico</t>
  </si>
  <si>
    <t>Social</t>
  </si>
  <si>
    <t>V5</t>
  </si>
  <si>
    <t>Climático</t>
  </si>
  <si>
    <t>Implementación</t>
  </si>
  <si>
    <t>V6</t>
  </si>
  <si>
    <t>V7</t>
  </si>
  <si>
    <t>min</t>
  </si>
  <si>
    <t>Experiencia en la conducción</t>
  </si>
  <si>
    <t>Sostenibilidad financiera</t>
  </si>
  <si>
    <t>Impacto en deuda</t>
  </si>
  <si>
    <t>Potencial para participación de empresas privadas</t>
  </si>
  <si>
    <t>CBA</t>
  </si>
  <si>
    <t>Oportunidades de empleo</t>
  </si>
  <si>
    <t>Aumento de la competitividad</t>
  </si>
  <si>
    <t>Seguridad ante incendios</t>
  </si>
  <si>
    <t>Accesibilidad a los vehículos</t>
  </si>
  <si>
    <t>Facilidad de acceso a fuente de abastecimiento</t>
  </si>
  <si>
    <t>Madurez de la infraestrucutra de abastecimiento</t>
  </si>
  <si>
    <t>Resilencia frente a eventos climaticos</t>
  </si>
  <si>
    <t>Viabilidad de obtención de financiación</t>
  </si>
  <si>
    <t>Eficiencia energética</t>
  </si>
  <si>
    <t>Madurez de la infraestrucutra</t>
  </si>
  <si>
    <t>Tiempos de repostaje</t>
  </si>
  <si>
    <t>Número de contratos</t>
  </si>
  <si>
    <t>#</t>
  </si>
  <si>
    <t>Reducción de emisiones</t>
  </si>
  <si>
    <t>CO2</t>
  </si>
  <si>
    <t>IND19</t>
  </si>
  <si>
    <t>Medioambiental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</si>
</sst>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&quot;%&quot;"/>
  </numFmts>
  <fonts count="9" x14ac:knownFonts="1">
    <font>
      <sz val="11"/>
      <color theme="1"/>
      <name val="Calibri"/>
      <family val="2"/>
      <scheme val="minor"/>
    </font>
    <font>
      <b/>
      <sz val="13"/>
      <color rgb="FF2C3E50"/>
      <name val="Calibri"/>
      <family val="2"/>
    </font>
    <font>
      <b/>
      <sz val="11"/>
      <color rgb="FF1F77B4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i/>
      <sz val="8"/>
      <color rgb="FF666666"/>
      <name val="Calibri"/>
      <family val="2"/>
    </font>
    <font>
      <b/>
      <sz val="11"/>
      <name val="Calibri"/>
      <family val="2"/>
    </font>
    <font>
      <b/>
      <sz val="11"/>
      <color rgb="FFE74C3C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77B4"/>
      </patternFill>
    </fill>
    <fill>
      <patternFill patternType="solid">
        <fgColor rgb="FFF2F3F4"/>
      </patternFill>
    </fill>
    <fill>
      <patternFill patternType="solid">
        <fgColor rgb="FFD5F5E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0" fontId="0" fillId="4" borderId="0" xfId="0" applyFill="1"/>
    <xf numFmtId="164" fontId="0" fillId="3" borderId="1" xfId="0" applyNumberFormat="1" applyFill="1" applyBorder="1" applyAlignment="1">
      <alignment horizontal="center" vertical="center" wrapText="1"/>
    </xf>
    <xf numFmtId="0" fontId="6" fillId="0" borderId="0" xfId="0" applyFont="1"/>
    <xf numFmtId="2" fontId="7" fillId="0" borderId="0" xfId="0" applyNumberFormat="1" applyFont="1"/>
    <xf numFmtId="0" fontId="3" fillId="2" borderId="1" xfId="0" applyFont="1" applyFill="1" applyBorder="1"/>
    <xf numFmtId="0" fontId="0" fillId="3" borderId="1" xfId="0" applyFill="1" applyBorder="1"/>
    <xf numFmtId="0" fontId="3" fillId="2" borderId="0" xfId="0" applyFont="1" applyFill="1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0" fontId="0" fillId="4" borderId="1" xfId="0" applyFill="1" applyBorder="1" applyAlignment="1">
      <alignment horizontal="left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fgColor rgb="FFCCFFCC"/>
        </patternFill>
      </fill>
    </dxf>
    <dxf>
      <fill>
        <patternFill patternType="solid">
          <f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1F77B4"/>
  </sheetPr>
  <dimension ref="A1:A25"/>
  <sheetViews>
    <sheetView workbookViewId="0"/>
  </sheetViews>
  <sheetFormatPr baseColWidth="10" defaultColWidth="8.85546875" defaultRowHeight="15" x14ac:dyDescent="0.25"/>
  <cols>
    <col min="1" max="1" width="80" customWidth="1"/>
  </cols>
  <sheetData>
    <row r="1" spans="1:1" ht="17.2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s="2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1" x14ac:dyDescent="0.25">
      <c r="A14" s="2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2" spans="1:1" x14ac:dyDescent="0.25">
      <c r="A22" s="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27AE60"/>
  </sheetPr>
  <dimension ref="A1:B10"/>
  <sheetViews>
    <sheetView workbookViewId="0">
      <selection activeCell="B3" sqref="B3:B7"/>
    </sheetView>
  </sheetViews>
  <sheetFormatPr baseColWidth="10" defaultColWidth="8.85546875" defaultRowHeight="15" x14ac:dyDescent="0.25"/>
  <cols>
    <col min="1" max="2" width="30" customWidth="1"/>
  </cols>
  <sheetData>
    <row r="1" spans="1:2" x14ac:dyDescent="0.25">
      <c r="A1" s="3" t="s">
        <v>21</v>
      </c>
      <c r="B1" s="3" t="s">
        <v>22</v>
      </c>
    </row>
    <row r="2" spans="1:2" x14ac:dyDescent="0.25">
      <c r="A2" s="4" t="s">
        <v>23</v>
      </c>
      <c r="B2" s="5" t="s">
        <v>112</v>
      </c>
    </row>
    <row r="3" spans="1:2" x14ac:dyDescent="0.25">
      <c r="A3" s="4" t="s">
        <v>24</v>
      </c>
      <c r="B3" s="5" t="s">
        <v>113</v>
      </c>
    </row>
    <row r="4" spans="1:2" x14ac:dyDescent="0.25">
      <c r="A4" s="4" t="s">
        <v>25</v>
      </c>
      <c r="B4" s="5" t="s">
        <v>114</v>
      </c>
    </row>
    <row r="5" spans="1:2" x14ac:dyDescent="0.25">
      <c r="A5" s="4" t="s">
        <v>26</v>
      </c>
      <c r="B5" s="5" t="s">
        <v>115</v>
      </c>
    </row>
    <row r="6" spans="1:2" x14ac:dyDescent="0.25">
      <c r="A6" s="4" t="s">
        <v>27</v>
      </c>
      <c r="B6" s="5" t="s">
        <v>117</v>
      </c>
    </row>
    <row r="7" spans="1:2" x14ac:dyDescent="0.25">
      <c r="A7" s="4" t="s">
        <v>116</v>
      </c>
      <c r="B7" s="5" t="s">
        <v>118</v>
      </c>
    </row>
    <row r="9" spans="1:2" x14ac:dyDescent="0.25">
      <c r="A9" s="6" t="s">
        <v>28</v>
      </c>
    </row>
    <row r="10" spans="1:2" x14ac:dyDescent="0.25">
      <c r="A10" s="6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E67E22"/>
  </sheetPr>
  <dimension ref="A1:H24"/>
  <sheetViews>
    <sheetView workbookViewId="0">
      <selection activeCell="H12" sqref="H12"/>
    </sheetView>
  </sheetViews>
  <sheetFormatPr baseColWidth="10" defaultColWidth="8.85546875" defaultRowHeight="15" x14ac:dyDescent="0.25"/>
  <cols>
    <col min="1" max="1" width="30" customWidth="1"/>
    <col min="2" max="2" width="14" customWidth="1"/>
    <col min="3" max="3" width="15" customWidth="1"/>
    <col min="4" max="4" width="30" customWidth="1"/>
    <col min="5" max="5" width="14" customWidth="1"/>
    <col min="6" max="6" width="16" customWidth="1"/>
    <col min="7" max="7" width="15" customWidth="1"/>
    <col min="8" max="8" width="18" customWidth="1"/>
  </cols>
  <sheetData>
    <row r="1" spans="1:8" ht="17.25" x14ac:dyDescent="0.3">
      <c r="A1" s="1" t="s">
        <v>30</v>
      </c>
    </row>
    <row r="2" spans="1:8" x14ac:dyDescent="0.25">
      <c r="A2" t="s">
        <v>31</v>
      </c>
    </row>
    <row r="3" spans="1:8" x14ac:dyDescent="0.25">
      <c r="A3" t="s">
        <v>32</v>
      </c>
    </row>
    <row r="5" spans="1:8" ht="30" x14ac:dyDescent="0.25">
      <c r="A5" s="3" t="s">
        <v>21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 spans="1:8" x14ac:dyDescent="0.25">
      <c r="A6" s="4" t="s">
        <v>40</v>
      </c>
      <c r="B6" s="4" t="s">
        <v>41</v>
      </c>
      <c r="C6" s="4" t="s">
        <v>42</v>
      </c>
      <c r="D6" s="21" t="s">
        <v>153</v>
      </c>
      <c r="E6" s="5" t="s">
        <v>137</v>
      </c>
      <c r="F6" s="5" t="s">
        <v>43</v>
      </c>
      <c r="G6" s="5">
        <v>1</v>
      </c>
      <c r="H6" s="5">
        <v>5.1999999999999998E-2</v>
      </c>
    </row>
    <row r="7" spans="1:8" x14ac:dyDescent="0.25">
      <c r="A7" s="4" t="s">
        <v>44</v>
      </c>
      <c r="B7" s="4" t="s">
        <v>41</v>
      </c>
      <c r="C7" s="4" t="s">
        <v>42</v>
      </c>
      <c r="D7" s="21" t="s">
        <v>119</v>
      </c>
      <c r="E7" s="5" t="s">
        <v>123</v>
      </c>
      <c r="F7" s="5" t="s">
        <v>43</v>
      </c>
      <c r="G7" s="5">
        <v>1</v>
      </c>
      <c r="H7" s="5">
        <v>5.1999999999999998E-2</v>
      </c>
    </row>
    <row r="8" spans="1:8" x14ac:dyDescent="0.25">
      <c r="A8" s="4" t="s">
        <v>46</v>
      </c>
      <c r="B8" s="4" t="s">
        <v>41</v>
      </c>
      <c r="C8" s="4" t="s">
        <v>47</v>
      </c>
      <c r="D8" s="21" t="s">
        <v>152</v>
      </c>
      <c r="E8" s="5" t="s">
        <v>120</v>
      </c>
      <c r="F8" s="5" t="s">
        <v>43</v>
      </c>
      <c r="G8" s="5">
        <v>1</v>
      </c>
      <c r="H8" s="5">
        <v>5.1999999999999998E-2</v>
      </c>
    </row>
    <row r="9" spans="1:8" x14ac:dyDescent="0.25">
      <c r="A9" s="4" t="s">
        <v>48</v>
      </c>
      <c r="B9" s="4" t="s">
        <v>41</v>
      </c>
      <c r="C9" s="4" t="s">
        <v>47</v>
      </c>
      <c r="D9" s="21" t="s">
        <v>151</v>
      </c>
      <c r="E9" s="5" t="s">
        <v>121</v>
      </c>
      <c r="F9" s="5" t="s">
        <v>43</v>
      </c>
      <c r="G9" s="5">
        <v>1</v>
      </c>
      <c r="H9" s="5">
        <v>5.1999999999999998E-2</v>
      </c>
    </row>
    <row r="10" spans="1:8" x14ac:dyDescent="0.25">
      <c r="A10" s="4" t="s">
        <v>49</v>
      </c>
      <c r="B10" s="4" t="s">
        <v>41</v>
      </c>
      <c r="C10" s="4" t="s">
        <v>51</v>
      </c>
      <c r="D10" s="21" t="s">
        <v>138</v>
      </c>
      <c r="E10" s="5" t="s">
        <v>120</v>
      </c>
      <c r="F10" s="5" t="s">
        <v>43</v>
      </c>
      <c r="G10" s="5">
        <v>1</v>
      </c>
      <c r="H10" s="5">
        <v>5.1999999999999998E-2</v>
      </c>
    </row>
    <row r="11" spans="1:8" x14ac:dyDescent="0.25">
      <c r="A11" s="4" t="s">
        <v>52</v>
      </c>
      <c r="B11" s="4" t="s">
        <v>50</v>
      </c>
      <c r="C11" s="4" t="s">
        <v>51</v>
      </c>
      <c r="D11" s="22" t="s">
        <v>139</v>
      </c>
      <c r="E11" s="5" t="s">
        <v>122</v>
      </c>
      <c r="F11" s="5" t="s">
        <v>43</v>
      </c>
      <c r="G11" s="5">
        <v>1</v>
      </c>
      <c r="H11" s="5">
        <v>5.8000000000000003E-2</v>
      </c>
    </row>
    <row r="12" spans="1:8" x14ac:dyDescent="0.25">
      <c r="A12" s="4" t="s">
        <v>53</v>
      </c>
      <c r="B12" s="4" t="s">
        <v>55</v>
      </c>
      <c r="C12" s="4" t="s">
        <v>51</v>
      </c>
      <c r="D12" s="22" t="s">
        <v>140</v>
      </c>
      <c r="E12" s="5" t="s">
        <v>122</v>
      </c>
      <c r="F12" s="5" t="s">
        <v>45</v>
      </c>
      <c r="G12" s="5">
        <v>1</v>
      </c>
      <c r="H12" s="5">
        <v>5.1999999999999998E-2</v>
      </c>
    </row>
    <row r="13" spans="1:8" ht="30" x14ac:dyDescent="0.25">
      <c r="A13" s="4" t="s">
        <v>54</v>
      </c>
      <c r="B13" s="4" t="s">
        <v>50</v>
      </c>
      <c r="C13" s="4" t="s">
        <v>56</v>
      </c>
      <c r="D13" s="22" t="s">
        <v>150</v>
      </c>
      <c r="E13" s="5" t="s">
        <v>120</v>
      </c>
      <c r="F13" s="5" t="s">
        <v>43</v>
      </c>
      <c r="G13" s="5">
        <v>1</v>
      </c>
      <c r="H13" s="5">
        <v>5.1999999999999998E-2</v>
      </c>
    </row>
    <row r="14" spans="1:8" ht="30" x14ac:dyDescent="0.25">
      <c r="A14" s="4" t="s">
        <v>57</v>
      </c>
      <c r="B14" s="4" t="s">
        <v>50</v>
      </c>
      <c r="C14" s="4" t="s">
        <v>56</v>
      </c>
      <c r="D14" s="22" t="s">
        <v>141</v>
      </c>
      <c r="E14" s="5" t="s">
        <v>120</v>
      </c>
      <c r="F14" s="5" t="s">
        <v>43</v>
      </c>
      <c r="G14" s="5">
        <v>1</v>
      </c>
      <c r="H14" s="5">
        <v>5.1999999999999998E-2</v>
      </c>
    </row>
    <row r="15" spans="1:8" x14ac:dyDescent="0.25">
      <c r="A15" s="4" t="s">
        <v>58</v>
      </c>
      <c r="B15" s="4" t="s">
        <v>55</v>
      </c>
      <c r="C15" s="4" t="s">
        <v>59</v>
      </c>
      <c r="D15" s="19" t="s">
        <v>142</v>
      </c>
      <c r="E15" s="5" t="s">
        <v>120</v>
      </c>
      <c r="F15" s="5" t="s">
        <v>43</v>
      </c>
      <c r="G15" s="5">
        <v>1</v>
      </c>
      <c r="H15" s="5">
        <v>5.5E-2</v>
      </c>
    </row>
    <row r="16" spans="1:8" x14ac:dyDescent="0.25">
      <c r="A16" s="4" t="s">
        <v>60</v>
      </c>
      <c r="B16" s="4" t="s">
        <v>62</v>
      </c>
      <c r="C16" s="4" t="s">
        <v>59</v>
      </c>
      <c r="D16" s="25" t="s">
        <v>143</v>
      </c>
      <c r="E16" s="5" t="s">
        <v>120</v>
      </c>
      <c r="F16" s="5" t="s">
        <v>43</v>
      </c>
      <c r="G16" s="5">
        <v>1</v>
      </c>
      <c r="H16" s="5">
        <v>5.1999999999999998E-2</v>
      </c>
    </row>
    <row r="17" spans="1:8" x14ac:dyDescent="0.25">
      <c r="A17" s="4" t="s">
        <v>61</v>
      </c>
      <c r="B17" s="4" t="s">
        <v>62</v>
      </c>
      <c r="C17" s="4" t="s">
        <v>63</v>
      </c>
      <c r="D17" s="25" t="s">
        <v>144</v>
      </c>
      <c r="E17" s="5" t="s">
        <v>120</v>
      </c>
      <c r="F17" s="5" t="s">
        <v>43</v>
      </c>
      <c r="G17" s="5">
        <v>1</v>
      </c>
      <c r="H17" s="5">
        <v>5.1999999999999998E-2</v>
      </c>
    </row>
    <row r="18" spans="1:8" ht="30" x14ac:dyDescent="0.25">
      <c r="A18" s="4" t="s">
        <v>64</v>
      </c>
      <c r="B18" s="4" t="s">
        <v>132</v>
      </c>
      <c r="C18" s="4" t="s">
        <v>63</v>
      </c>
      <c r="D18" s="24" t="s">
        <v>149</v>
      </c>
      <c r="E18" s="5" t="s">
        <v>120</v>
      </c>
      <c r="F18" s="5" t="s">
        <v>43</v>
      </c>
      <c r="G18" s="5">
        <v>1</v>
      </c>
      <c r="H18" s="5">
        <v>5.1999999999999998E-2</v>
      </c>
    </row>
    <row r="19" spans="1:8" x14ac:dyDescent="0.25">
      <c r="A19" s="4" t="s">
        <v>65</v>
      </c>
      <c r="B19" s="4" t="s">
        <v>132</v>
      </c>
      <c r="C19" s="4" t="s">
        <v>63</v>
      </c>
      <c r="D19" s="24" t="s">
        <v>145</v>
      </c>
      <c r="E19" s="5" t="s">
        <v>120</v>
      </c>
      <c r="F19" s="5" t="s">
        <v>43</v>
      </c>
      <c r="G19" s="5">
        <v>1</v>
      </c>
      <c r="H19" s="5">
        <v>5.1999999999999998E-2</v>
      </c>
    </row>
    <row r="20" spans="1:8" ht="30" x14ac:dyDescent="0.25">
      <c r="A20" s="4" t="s">
        <v>66</v>
      </c>
      <c r="B20" s="4" t="s">
        <v>135</v>
      </c>
      <c r="C20" s="4" t="s">
        <v>67</v>
      </c>
      <c r="D20" s="23" t="s">
        <v>148</v>
      </c>
      <c r="E20" s="5" t="s">
        <v>120</v>
      </c>
      <c r="F20" s="5" t="s">
        <v>43</v>
      </c>
      <c r="G20" s="5">
        <v>1</v>
      </c>
      <c r="H20" s="5">
        <v>5.1999999999999998E-2</v>
      </c>
    </row>
    <row r="21" spans="1:8" ht="30" x14ac:dyDescent="0.25">
      <c r="A21" s="4" t="s">
        <v>68</v>
      </c>
      <c r="B21" s="4" t="s">
        <v>135</v>
      </c>
      <c r="C21" s="4" t="s">
        <v>67</v>
      </c>
      <c r="D21" s="23" t="s">
        <v>147</v>
      </c>
      <c r="E21" s="5" t="s">
        <v>120</v>
      </c>
      <c r="F21" s="5" t="s">
        <v>43</v>
      </c>
      <c r="G21" s="5">
        <v>1</v>
      </c>
      <c r="H21" s="5">
        <v>5.1999999999999998E-2</v>
      </c>
    </row>
    <row r="22" spans="1:8" x14ac:dyDescent="0.25">
      <c r="A22" s="4" t="s">
        <v>69</v>
      </c>
      <c r="B22" s="4" t="s">
        <v>135</v>
      </c>
      <c r="C22" s="4" t="s">
        <v>70</v>
      </c>
      <c r="D22" s="23" t="s">
        <v>146</v>
      </c>
      <c r="E22" s="5" t="s">
        <v>120</v>
      </c>
      <c r="F22" s="5" t="s">
        <v>43</v>
      </c>
      <c r="G22" s="5">
        <v>1</v>
      </c>
      <c r="H22" s="5">
        <v>5.1999999999999998E-2</v>
      </c>
    </row>
    <row r="23" spans="1:8" x14ac:dyDescent="0.25">
      <c r="A23" s="4" t="s">
        <v>71</v>
      </c>
      <c r="B23" s="4" t="s">
        <v>135</v>
      </c>
      <c r="C23" s="4" t="s">
        <v>70</v>
      </c>
      <c r="D23" s="23" t="s">
        <v>154</v>
      </c>
      <c r="E23" s="5" t="s">
        <v>155</v>
      </c>
      <c r="F23" s="5" t="s">
        <v>45</v>
      </c>
      <c r="G23" s="5">
        <v>1</v>
      </c>
      <c r="H23" s="5">
        <v>5.1999999999999998E-2</v>
      </c>
    </row>
    <row r="24" spans="1:8" x14ac:dyDescent="0.25">
      <c r="A24" s="4" t="s">
        <v>158</v>
      </c>
      <c r="B24" s="4" t="s">
        <v>136</v>
      </c>
      <c r="C24" s="4" t="s">
        <v>67</v>
      </c>
      <c r="D24" s="23" t="s">
        <v>156</v>
      </c>
      <c r="E24" s="5" t="s">
        <v>157</v>
      </c>
      <c r="F24" s="5" t="s">
        <v>43</v>
      </c>
      <c r="G24" s="5">
        <v>1</v>
      </c>
      <c r="H24" s="5">
        <v>5.1999999999999998E-2</v>
      </c>
    </row>
  </sheetData>
  <phoneticPr fontId="8" type="noConversion"/>
  <dataValidations count="1">
    <dataValidation type="list" showInputMessage="1" showErrorMessage="1" errorTitle="Valor invalido" error="Solo se permite SUMA o RESTA" sqref="F6:F24" xr:uid="{00000000-0002-0000-0200-000000000000}">
      <formula1>"SUMA,RESTA"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E74C3C"/>
  </sheetPr>
  <dimension ref="A1:T10"/>
  <sheetViews>
    <sheetView workbookViewId="0">
      <selection activeCell="O12" sqref="O12"/>
    </sheetView>
  </sheetViews>
  <sheetFormatPr baseColWidth="10" defaultColWidth="8.85546875" defaultRowHeight="15" x14ac:dyDescent="0.25"/>
  <cols>
    <col min="1" max="1" width="30" customWidth="1"/>
    <col min="2" max="2" width="26" customWidth="1"/>
    <col min="3" max="3" width="22" customWidth="1"/>
    <col min="4" max="4" width="26" customWidth="1"/>
    <col min="5" max="5" width="24" customWidth="1"/>
    <col min="6" max="6" width="21" customWidth="1"/>
    <col min="7" max="7" width="25" customWidth="1"/>
    <col min="8" max="8" width="18" customWidth="1"/>
    <col min="9" max="9" width="19" customWidth="1"/>
    <col min="10" max="10" width="25" customWidth="1"/>
    <col min="11" max="12" width="14" customWidth="1"/>
    <col min="13" max="13" width="29" customWidth="1"/>
    <col min="14" max="14" width="24" customWidth="1"/>
    <col min="15" max="15" width="27" customWidth="1"/>
    <col min="16" max="16" width="30" customWidth="1"/>
    <col min="17" max="17" width="17" customWidth="1"/>
    <col min="18" max="18" width="23" customWidth="1"/>
    <col min="19" max="19" width="27" customWidth="1"/>
    <col min="20" max="20" width="17.140625" bestFit="1" customWidth="1"/>
  </cols>
  <sheetData>
    <row r="1" spans="1:20" ht="17.25" x14ac:dyDescent="0.3">
      <c r="A1" s="1" t="s">
        <v>72</v>
      </c>
    </row>
    <row r="2" spans="1:20" x14ac:dyDescent="0.25">
      <c r="A2" t="s">
        <v>73</v>
      </c>
    </row>
    <row r="3" spans="1:20" x14ac:dyDescent="0.25">
      <c r="A3" s="3" t="s">
        <v>74</v>
      </c>
      <c r="B3" s="3" t="s">
        <v>40</v>
      </c>
      <c r="C3" s="3" t="s">
        <v>44</v>
      </c>
      <c r="D3" s="3" t="s">
        <v>46</v>
      </c>
      <c r="E3" s="3" t="s">
        <v>48</v>
      </c>
      <c r="F3" s="3" t="s">
        <v>49</v>
      </c>
      <c r="G3" s="3" t="s">
        <v>52</v>
      </c>
      <c r="H3" s="3" t="s">
        <v>53</v>
      </c>
      <c r="I3" s="3" t="s">
        <v>54</v>
      </c>
      <c r="J3" s="3" t="s">
        <v>57</v>
      </c>
      <c r="K3" s="3" t="s">
        <v>58</v>
      </c>
      <c r="L3" s="3" t="s">
        <v>60</v>
      </c>
      <c r="M3" s="3" t="s">
        <v>61</v>
      </c>
      <c r="N3" s="3" t="s">
        <v>64</v>
      </c>
      <c r="O3" s="3" t="s">
        <v>65</v>
      </c>
      <c r="P3" s="3" t="s">
        <v>66</v>
      </c>
      <c r="Q3" s="3" t="s">
        <v>68</v>
      </c>
      <c r="R3" s="3" t="s">
        <v>69</v>
      </c>
      <c r="S3" s="3" t="s">
        <v>71</v>
      </c>
      <c r="T3" s="3" t="s">
        <v>158</v>
      </c>
    </row>
    <row r="4" spans="1:20" x14ac:dyDescent="0.25">
      <c r="B4" s="7" t="str" cm="1">
        <f t="array" ref="B4:T4">+TRANSPOSE(INDICADORES!D6:D24)</f>
        <v>Tiempos de repostaje</v>
      </c>
      <c r="C4" s="7" t="str">
        <v>Autonomía</v>
      </c>
      <c r="D4" s="7" t="str">
        <v>Madurez de la infraestrucutra</v>
      </c>
      <c r="E4" s="7" t="str">
        <v>Eficiencia energética</v>
      </c>
      <c r="F4" s="7" t="str">
        <v>Experiencia en la conducción</v>
      </c>
      <c r="G4" s="7" t="str">
        <v>Sostenibilidad financiera</v>
      </c>
      <c r="H4" s="7" t="str">
        <v>Impacto en deuda</v>
      </c>
      <c r="I4" s="7" t="str">
        <v>Viabilidad de obtención de financiación</v>
      </c>
      <c r="J4" s="7" t="str">
        <v>Potencial para participación de empresas privadas</v>
      </c>
      <c r="K4" s="7" t="str">
        <v>CBA</v>
      </c>
      <c r="L4" s="7" t="str">
        <v>Oportunidades de empleo</v>
      </c>
      <c r="M4" s="7" t="str">
        <v>Aumento de la competitividad</v>
      </c>
      <c r="N4" s="7" t="str">
        <v>Resilencia frente a eventos climaticos</v>
      </c>
      <c r="O4" s="7" t="str">
        <v>Seguridad ante incendios</v>
      </c>
      <c r="P4" s="7" t="str">
        <v>Madurez de la infraestrucutra de abastecimiento</v>
      </c>
      <c r="Q4" s="7" t="str">
        <v>Facilidad de acceso a fuente de abastecimiento</v>
      </c>
      <c r="R4" s="7" t="str">
        <v>Accesibilidad a los vehículos</v>
      </c>
      <c r="S4" s="7" t="str">
        <v>Número de contratos</v>
      </c>
      <c r="T4" s="7" t="str">
        <v>Reducción de emisiones</v>
      </c>
    </row>
    <row r="5" spans="1:20" x14ac:dyDescent="0.25">
      <c r="A5" s="4" t="s">
        <v>23</v>
      </c>
      <c r="B5" s="5">
        <v>5000</v>
      </c>
      <c r="C5" s="5">
        <v>120000</v>
      </c>
      <c r="D5" s="5">
        <v>50</v>
      </c>
      <c r="E5" s="8">
        <v>0.6</v>
      </c>
      <c r="F5" s="5">
        <v>200</v>
      </c>
      <c r="G5" s="5">
        <v>15000</v>
      </c>
      <c r="H5" s="8">
        <v>0.5</v>
      </c>
      <c r="I5" s="5">
        <v>80</v>
      </c>
      <c r="J5" s="5">
        <v>5</v>
      </c>
      <c r="K5" s="5">
        <v>20</v>
      </c>
      <c r="L5" s="5">
        <v>8</v>
      </c>
      <c r="M5" s="5">
        <v>7</v>
      </c>
      <c r="N5" s="5">
        <v>24</v>
      </c>
      <c r="O5" s="5">
        <v>70</v>
      </c>
      <c r="P5" s="8">
        <v>0.6</v>
      </c>
      <c r="Q5" s="8">
        <v>0.7</v>
      </c>
      <c r="R5" s="8">
        <v>0.5</v>
      </c>
      <c r="S5" s="8">
        <v>0.4</v>
      </c>
      <c r="T5" s="8">
        <v>0.4</v>
      </c>
    </row>
    <row r="6" spans="1:20" x14ac:dyDescent="0.25">
      <c r="A6" s="4" t="s">
        <v>24</v>
      </c>
      <c r="B6" s="5">
        <v>8000</v>
      </c>
      <c r="C6" s="5">
        <v>100000</v>
      </c>
      <c r="D6" s="5">
        <v>80</v>
      </c>
      <c r="E6" s="8">
        <v>0.7</v>
      </c>
      <c r="F6" s="5">
        <v>350</v>
      </c>
      <c r="G6" s="5">
        <v>25000</v>
      </c>
      <c r="H6" s="8">
        <v>0.6</v>
      </c>
      <c r="I6" s="5">
        <v>120</v>
      </c>
      <c r="J6" s="5">
        <v>7</v>
      </c>
      <c r="K6" s="5">
        <v>35</v>
      </c>
      <c r="L6" s="5">
        <v>12</v>
      </c>
      <c r="M6" s="5">
        <v>8</v>
      </c>
      <c r="N6" s="5">
        <v>18</v>
      </c>
      <c r="O6" s="5">
        <v>80</v>
      </c>
      <c r="P6" s="8">
        <v>0.7</v>
      </c>
      <c r="Q6" s="8">
        <v>0.8</v>
      </c>
      <c r="R6" s="8">
        <v>0.6</v>
      </c>
      <c r="S6" s="8">
        <v>0.5</v>
      </c>
      <c r="T6" s="8">
        <v>0.5</v>
      </c>
    </row>
    <row r="7" spans="1:20" x14ac:dyDescent="0.25">
      <c r="A7" s="4" t="s">
        <v>25</v>
      </c>
      <c r="B7" s="5">
        <v>15000</v>
      </c>
      <c r="C7" s="5">
        <v>80000</v>
      </c>
      <c r="D7" s="5">
        <v>120</v>
      </c>
      <c r="E7" s="8">
        <v>0.85</v>
      </c>
      <c r="F7" s="5">
        <v>500</v>
      </c>
      <c r="G7" s="5">
        <v>40000</v>
      </c>
      <c r="H7" s="8">
        <v>0.8</v>
      </c>
      <c r="I7" s="5">
        <v>200</v>
      </c>
      <c r="J7" s="5">
        <v>12</v>
      </c>
      <c r="K7" s="5">
        <v>60</v>
      </c>
      <c r="L7" s="5">
        <v>18</v>
      </c>
      <c r="M7" s="5">
        <v>6</v>
      </c>
      <c r="N7" s="5">
        <v>36</v>
      </c>
      <c r="O7" s="5">
        <v>60</v>
      </c>
      <c r="P7" s="8">
        <v>0.8</v>
      </c>
      <c r="Q7" s="8">
        <v>0.6</v>
      </c>
      <c r="R7" s="8">
        <v>0.7</v>
      </c>
      <c r="S7" s="8">
        <v>0.7</v>
      </c>
      <c r="T7" s="8">
        <v>0.7</v>
      </c>
    </row>
    <row r="8" spans="1:20" x14ac:dyDescent="0.25">
      <c r="A8" s="4" t="s">
        <v>26</v>
      </c>
      <c r="B8" s="5">
        <v>12000</v>
      </c>
      <c r="C8" s="5">
        <v>90000</v>
      </c>
      <c r="D8" s="5">
        <v>150</v>
      </c>
      <c r="E8" s="8">
        <v>0.9</v>
      </c>
      <c r="F8" s="5">
        <v>400</v>
      </c>
      <c r="G8" s="5">
        <v>35000</v>
      </c>
      <c r="H8" s="8">
        <v>0.9</v>
      </c>
      <c r="I8" s="5">
        <v>150</v>
      </c>
      <c r="J8" s="5">
        <v>8</v>
      </c>
      <c r="K8" s="5">
        <v>45</v>
      </c>
      <c r="L8" s="5">
        <v>15</v>
      </c>
      <c r="M8" s="5">
        <v>7</v>
      </c>
      <c r="N8" s="5">
        <v>30</v>
      </c>
      <c r="O8" s="5">
        <v>75</v>
      </c>
      <c r="P8" s="8">
        <v>0.9</v>
      </c>
      <c r="Q8" s="8">
        <v>0.8</v>
      </c>
      <c r="R8" s="8">
        <v>0.8</v>
      </c>
      <c r="S8" s="8">
        <v>0.8</v>
      </c>
      <c r="T8" s="8">
        <v>0.8</v>
      </c>
    </row>
    <row r="9" spans="1:20" x14ac:dyDescent="0.25">
      <c r="A9" s="4" t="s">
        <v>27</v>
      </c>
      <c r="B9" s="5">
        <v>3000</v>
      </c>
      <c r="C9" s="5">
        <v>150000</v>
      </c>
      <c r="D9" s="5">
        <v>30</v>
      </c>
      <c r="E9" s="8">
        <v>0.4</v>
      </c>
      <c r="F9" s="5">
        <v>150</v>
      </c>
      <c r="G9" s="5">
        <v>10000</v>
      </c>
      <c r="H9" s="8">
        <v>0.4</v>
      </c>
      <c r="I9" s="5">
        <v>50</v>
      </c>
      <c r="J9" s="5">
        <v>3</v>
      </c>
      <c r="K9" s="5">
        <v>15</v>
      </c>
      <c r="L9" s="5">
        <v>6</v>
      </c>
      <c r="M9" s="5">
        <v>9</v>
      </c>
      <c r="N9" s="5">
        <v>12</v>
      </c>
      <c r="O9" s="5">
        <v>90</v>
      </c>
      <c r="P9" s="8">
        <v>0.5</v>
      </c>
      <c r="Q9" s="8">
        <v>0.9</v>
      </c>
      <c r="R9" s="8">
        <v>0.4</v>
      </c>
      <c r="S9" s="8">
        <v>0.3</v>
      </c>
      <c r="T9" s="8">
        <v>0.3</v>
      </c>
    </row>
    <row r="10" spans="1:20" x14ac:dyDescent="0.25">
      <c r="A10" s="4" t="s">
        <v>116</v>
      </c>
      <c r="B10" s="5">
        <v>3000</v>
      </c>
      <c r="C10" s="5">
        <v>150000</v>
      </c>
      <c r="D10" s="5">
        <v>30</v>
      </c>
      <c r="E10" s="8">
        <v>0.4</v>
      </c>
      <c r="F10" s="5">
        <v>150</v>
      </c>
      <c r="G10" s="5">
        <v>10000</v>
      </c>
      <c r="H10" s="8">
        <v>0.4</v>
      </c>
      <c r="I10" s="5">
        <v>50</v>
      </c>
      <c r="J10" s="5">
        <v>3</v>
      </c>
      <c r="K10" s="5">
        <v>15</v>
      </c>
      <c r="L10" s="5">
        <v>6</v>
      </c>
      <c r="M10" s="5">
        <v>9</v>
      </c>
      <c r="N10" s="5">
        <v>12</v>
      </c>
      <c r="O10" s="5">
        <v>90</v>
      </c>
      <c r="P10" s="8">
        <v>0.5</v>
      </c>
      <c r="Q10" s="8">
        <v>0.9</v>
      </c>
      <c r="R10" s="8">
        <v>0.4</v>
      </c>
      <c r="S10" s="8">
        <v>0.3</v>
      </c>
      <c r="T10" s="8">
        <v>0.3</v>
      </c>
    </row>
  </sheetData>
  <phoneticPr fontId="8" type="noConversion"/>
  <conditionalFormatting sqref="B5:B10">
    <cfRule type="dataBar" priority="1">
      <dataBar>
        <cfvo type="min"/>
        <cfvo type="max"/>
        <color rgb="FF5B9BD5"/>
      </dataBar>
    </cfRule>
  </conditionalFormatting>
  <conditionalFormatting sqref="C5:C10">
    <cfRule type="dataBar" priority="2">
      <dataBar>
        <cfvo type="min"/>
        <cfvo type="max"/>
        <color rgb="FF5B9BD5"/>
      </dataBar>
    </cfRule>
  </conditionalFormatting>
  <conditionalFormatting sqref="D5:D10">
    <cfRule type="dataBar" priority="3">
      <dataBar>
        <cfvo type="min"/>
        <cfvo type="max"/>
        <color rgb="FF5B9BD5"/>
      </dataBar>
    </cfRule>
  </conditionalFormatting>
  <conditionalFormatting sqref="E5:E10">
    <cfRule type="dataBar" priority="4">
      <dataBar>
        <cfvo type="min"/>
        <cfvo type="max"/>
        <color rgb="FF5B9BD5"/>
      </dataBar>
    </cfRule>
  </conditionalFormatting>
  <conditionalFormatting sqref="F5:F10">
    <cfRule type="dataBar" priority="5">
      <dataBar>
        <cfvo type="min"/>
        <cfvo type="max"/>
        <color rgb="FF5B9BD5"/>
      </dataBar>
    </cfRule>
  </conditionalFormatting>
  <conditionalFormatting sqref="G5:G10">
    <cfRule type="dataBar" priority="6">
      <dataBar>
        <cfvo type="min"/>
        <cfvo type="max"/>
        <color rgb="FF5B9BD5"/>
      </dataBar>
    </cfRule>
  </conditionalFormatting>
  <conditionalFormatting sqref="H5:H10">
    <cfRule type="dataBar" priority="7">
      <dataBar>
        <cfvo type="min"/>
        <cfvo type="max"/>
        <color rgb="FF5B9BD5"/>
      </dataBar>
    </cfRule>
  </conditionalFormatting>
  <conditionalFormatting sqref="I5:I10">
    <cfRule type="dataBar" priority="8">
      <dataBar>
        <cfvo type="min"/>
        <cfvo type="max"/>
        <color rgb="FF5B9BD5"/>
      </dataBar>
    </cfRule>
  </conditionalFormatting>
  <conditionalFormatting sqref="J5:J10">
    <cfRule type="dataBar" priority="9">
      <dataBar>
        <cfvo type="min"/>
        <cfvo type="max"/>
        <color rgb="FF5B9BD5"/>
      </dataBar>
    </cfRule>
  </conditionalFormatting>
  <conditionalFormatting sqref="K5:K10">
    <cfRule type="dataBar" priority="10">
      <dataBar>
        <cfvo type="min"/>
        <cfvo type="max"/>
        <color rgb="FF5B9BD5"/>
      </dataBar>
    </cfRule>
  </conditionalFormatting>
  <conditionalFormatting sqref="L5:L10">
    <cfRule type="dataBar" priority="11">
      <dataBar>
        <cfvo type="min"/>
        <cfvo type="max"/>
        <color rgb="FF5B9BD5"/>
      </dataBar>
    </cfRule>
  </conditionalFormatting>
  <conditionalFormatting sqref="M5:M10">
    <cfRule type="dataBar" priority="12">
      <dataBar>
        <cfvo type="min"/>
        <cfvo type="max"/>
        <color rgb="FF5B9BD5"/>
      </dataBar>
    </cfRule>
  </conditionalFormatting>
  <conditionalFormatting sqref="N5:N10">
    <cfRule type="dataBar" priority="13">
      <dataBar>
        <cfvo type="min"/>
        <cfvo type="max"/>
        <color rgb="FF5B9BD5"/>
      </dataBar>
    </cfRule>
  </conditionalFormatting>
  <conditionalFormatting sqref="O5:O10">
    <cfRule type="dataBar" priority="14">
      <dataBar>
        <cfvo type="min"/>
        <cfvo type="max"/>
        <color rgb="FF5B9BD5"/>
      </dataBar>
    </cfRule>
  </conditionalFormatting>
  <conditionalFormatting sqref="P5:P10">
    <cfRule type="dataBar" priority="15">
      <dataBar>
        <cfvo type="min"/>
        <cfvo type="max"/>
        <color rgb="FF5B9BD5"/>
      </dataBar>
    </cfRule>
  </conditionalFormatting>
  <conditionalFormatting sqref="Q5:Q10">
    <cfRule type="dataBar" priority="16">
      <dataBar>
        <cfvo type="min"/>
        <cfvo type="max"/>
        <color rgb="FF5B9BD5"/>
      </dataBar>
    </cfRule>
  </conditionalFormatting>
  <conditionalFormatting sqref="R5:R10">
    <cfRule type="dataBar" priority="17">
      <dataBar>
        <cfvo type="min"/>
        <cfvo type="max"/>
        <color rgb="FF5B9BD5"/>
      </dataBar>
    </cfRule>
  </conditionalFormatting>
  <conditionalFormatting sqref="S5:T10">
    <cfRule type="dataBar" priority="18">
      <dataBar>
        <cfvo type="min"/>
        <cfvo type="max"/>
        <color rgb="FF5B9BD5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8E44AD"/>
  </sheetPr>
  <dimension ref="A1:K14"/>
  <sheetViews>
    <sheetView tabSelected="1" workbookViewId="0">
      <selection activeCell="B14" sqref="B14"/>
    </sheetView>
  </sheetViews>
  <sheetFormatPr baseColWidth="10" defaultColWidth="8.85546875" defaultRowHeight="15" x14ac:dyDescent="0.25"/>
  <cols>
    <col min="1" max="1" width="30" customWidth="1"/>
    <col min="2" max="2" width="17.140625" customWidth="1"/>
    <col min="3" max="3" width="30" customWidth="1"/>
    <col min="4" max="4" width="16" customWidth="1"/>
    <col min="5" max="5" width="22" customWidth="1"/>
    <col min="6" max="6" width="25" customWidth="1"/>
    <col min="7" max="7" width="20" customWidth="1"/>
    <col min="8" max="11" width="12" customWidth="1"/>
  </cols>
  <sheetData>
    <row r="1" spans="1:11" ht="17.25" x14ac:dyDescent="0.3">
      <c r="A1" s="1" t="s">
        <v>75</v>
      </c>
    </row>
    <row r="2" spans="1:11" x14ac:dyDescent="0.25">
      <c r="A2" t="s">
        <v>76</v>
      </c>
    </row>
    <row r="3" spans="1:11" x14ac:dyDescent="0.25">
      <c r="A3" s="9" t="s">
        <v>77</v>
      </c>
      <c r="B3" s="9" t="s">
        <v>78</v>
      </c>
      <c r="C3" s="6" t="s">
        <v>79</v>
      </c>
    </row>
    <row r="5" spans="1:11" x14ac:dyDescent="0.25">
      <c r="A5" t="s">
        <v>80</v>
      </c>
    </row>
    <row r="6" spans="1:11" ht="30" x14ac:dyDescent="0.25">
      <c r="A6" s="3" t="s">
        <v>33</v>
      </c>
      <c r="B6" s="3" t="s">
        <v>81</v>
      </c>
      <c r="C6" s="3" t="s">
        <v>82</v>
      </c>
      <c r="D6" s="3" t="s">
        <v>83</v>
      </c>
      <c r="E6" s="3" t="s">
        <v>84</v>
      </c>
      <c r="F6" s="3" t="s">
        <v>85</v>
      </c>
      <c r="G6" s="3" t="s">
        <v>86</v>
      </c>
      <c r="H6" s="3" t="s">
        <v>41</v>
      </c>
      <c r="I6" s="3" t="s">
        <v>50</v>
      </c>
      <c r="J6" s="3" t="s">
        <v>55</v>
      </c>
      <c r="K6" s="3" t="s">
        <v>62</v>
      </c>
    </row>
    <row r="7" spans="1:11" x14ac:dyDescent="0.25">
      <c r="A7" s="4" t="s">
        <v>41</v>
      </c>
      <c r="B7" s="5" t="s">
        <v>128</v>
      </c>
      <c r="C7" s="5" t="s">
        <v>128</v>
      </c>
      <c r="D7" s="8">
        <v>0.1</v>
      </c>
      <c r="E7" s="10">
        <v>0.25</v>
      </c>
      <c r="F7" s="10">
        <v>0.2</v>
      </c>
      <c r="G7" s="4" t="s">
        <v>87</v>
      </c>
      <c r="H7" s="20">
        <v>1</v>
      </c>
      <c r="I7" s="20">
        <f>1/3</f>
        <v>0.33333333333333331</v>
      </c>
      <c r="J7" s="20">
        <f>1/7</f>
        <v>0.14285714285714285</v>
      </c>
      <c r="K7" s="20">
        <f>1/5</f>
        <v>0.2</v>
      </c>
    </row>
    <row r="8" spans="1:11" x14ac:dyDescent="0.25">
      <c r="A8" s="4" t="s">
        <v>50</v>
      </c>
      <c r="B8" s="5" t="s">
        <v>129</v>
      </c>
      <c r="C8" s="5" t="s">
        <v>129</v>
      </c>
      <c r="D8" s="8">
        <v>0.12</v>
      </c>
      <c r="E8" s="10">
        <v>0.25</v>
      </c>
      <c r="F8" s="10">
        <v>0.15</v>
      </c>
      <c r="G8" s="4" t="s">
        <v>87</v>
      </c>
      <c r="H8" s="20">
        <v>3</v>
      </c>
      <c r="I8" s="20">
        <v>1</v>
      </c>
      <c r="J8" s="20">
        <f>1/5</f>
        <v>0.2</v>
      </c>
      <c r="K8" s="20">
        <f>1/3</f>
        <v>0.33333333333333331</v>
      </c>
    </row>
    <row r="9" spans="1:11" x14ac:dyDescent="0.25">
      <c r="A9" s="4" t="s">
        <v>55</v>
      </c>
      <c r="B9" s="5" t="s">
        <v>130</v>
      </c>
      <c r="C9" s="5" t="s">
        <v>130</v>
      </c>
      <c r="D9" s="8">
        <v>0.28000000000000003</v>
      </c>
      <c r="E9" s="10">
        <v>0.25</v>
      </c>
      <c r="F9" s="10">
        <v>0.2</v>
      </c>
      <c r="G9" s="4" t="s">
        <v>87</v>
      </c>
      <c r="H9" s="20">
        <v>7</v>
      </c>
      <c r="I9" s="20">
        <v>5</v>
      </c>
      <c r="J9" s="20">
        <v>1</v>
      </c>
      <c r="K9" s="20">
        <v>3</v>
      </c>
    </row>
    <row r="10" spans="1:11" x14ac:dyDescent="0.25">
      <c r="A10" s="4" t="s">
        <v>62</v>
      </c>
      <c r="B10" s="5" t="s">
        <v>131</v>
      </c>
      <c r="C10" s="5" t="s">
        <v>131</v>
      </c>
      <c r="D10" s="8">
        <v>0.1</v>
      </c>
      <c r="E10" s="10">
        <v>0.25</v>
      </c>
      <c r="F10" s="10">
        <v>0.15</v>
      </c>
      <c r="G10" s="4" t="s">
        <v>87</v>
      </c>
      <c r="H10" s="20">
        <v>7</v>
      </c>
      <c r="I10" s="20">
        <v>5</v>
      </c>
      <c r="J10" s="20">
        <f>1/3</f>
        <v>0.33333333333333331</v>
      </c>
      <c r="K10" s="20">
        <v>1</v>
      </c>
    </row>
    <row r="11" spans="1:11" x14ac:dyDescent="0.25">
      <c r="A11" s="4" t="s">
        <v>132</v>
      </c>
      <c r="B11" s="5" t="s">
        <v>133</v>
      </c>
      <c r="C11" s="5" t="s">
        <v>133</v>
      </c>
      <c r="D11" s="8">
        <v>0.1</v>
      </c>
      <c r="E11" s="10">
        <v>0.25</v>
      </c>
      <c r="F11" s="10">
        <v>0.15</v>
      </c>
      <c r="G11" s="4" t="s">
        <v>87</v>
      </c>
      <c r="H11" s="20">
        <v>0.35</v>
      </c>
      <c r="I11" s="20">
        <f>1/3</f>
        <v>0.33333333333333331</v>
      </c>
      <c r="J11" s="20">
        <f>1/7</f>
        <v>0.14285714285714285</v>
      </c>
      <c r="K11" s="20">
        <f>1/5</f>
        <v>0.2</v>
      </c>
    </row>
    <row r="12" spans="1:11" x14ac:dyDescent="0.25">
      <c r="A12" s="4" t="s">
        <v>135</v>
      </c>
      <c r="B12" s="5" t="s">
        <v>134</v>
      </c>
      <c r="C12" s="5" t="s">
        <v>134</v>
      </c>
      <c r="D12" s="8">
        <v>0.15</v>
      </c>
      <c r="E12" s="10">
        <v>0.25</v>
      </c>
      <c r="F12" s="10">
        <v>0.15</v>
      </c>
      <c r="G12" s="4" t="s">
        <v>87</v>
      </c>
      <c r="H12" s="20">
        <v>0.3</v>
      </c>
      <c r="I12" s="20">
        <v>7.6666666666666696</v>
      </c>
      <c r="J12" s="20">
        <f>1/5</f>
        <v>0.2</v>
      </c>
      <c r="K12" s="20">
        <f>1/3</f>
        <v>0.33333333333333331</v>
      </c>
    </row>
    <row r="13" spans="1:11" x14ac:dyDescent="0.25">
      <c r="A13" s="4" t="s">
        <v>136</v>
      </c>
      <c r="B13" s="5" t="s">
        <v>159</v>
      </c>
      <c r="C13" s="5" t="s">
        <v>134</v>
      </c>
      <c r="D13" s="8">
        <v>0.15</v>
      </c>
      <c r="E13" s="10">
        <v>0.25</v>
      </c>
      <c r="F13" s="10">
        <v>0.15</v>
      </c>
      <c r="G13" s="4" t="s">
        <v>87</v>
      </c>
      <c r="H13" s="20">
        <v>0.2</v>
      </c>
      <c r="I13" s="20">
        <v>9.6666666666666696</v>
      </c>
      <c r="J13" s="20">
        <v>1</v>
      </c>
      <c r="K13" s="20">
        <v>1</v>
      </c>
    </row>
    <row r="14" spans="1:11" ht="14.25" customHeight="1" x14ac:dyDescent="0.25">
      <c r="C14" s="11" t="s">
        <v>88</v>
      </c>
      <c r="D14" s="12">
        <f>SUM(D7:D13)</f>
        <v>1</v>
      </c>
    </row>
  </sheetData>
  <conditionalFormatting sqref="D14">
    <cfRule type="cellIs" dxfId="1" priority="1" operator="notEqual">
      <formula>1</formula>
    </cfRule>
    <cfRule type="cellIs" dxfId="0" priority="2" operator="equal"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3498DB"/>
  </sheetPr>
  <dimension ref="A1:D10"/>
  <sheetViews>
    <sheetView workbookViewId="0">
      <selection activeCell="A24" sqref="A24"/>
    </sheetView>
  </sheetViews>
  <sheetFormatPr baseColWidth="10" defaultColWidth="8.85546875" defaultRowHeight="15" x14ac:dyDescent="0.25"/>
  <cols>
    <col min="1" max="1" width="24" customWidth="1"/>
    <col min="2" max="2" width="13" customWidth="1"/>
    <col min="3" max="4" width="30" customWidth="1"/>
  </cols>
  <sheetData>
    <row r="1" spans="1:4" ht="17.25" x14ac:dyDescent="0.3">
      <c r="A1" s="1" t="s">
        <v>89</v>
      </c>
    </row>
    <row r="6" spans="1:4" x14ac:dyDescent="0.25">
      <c r="A6" s="3" t="s">
        <v>34</v>
      </c>
      <c r="B6" s="3" t="s">
        <v>33</v>
      </c>
      <c r="C6" s="3" t="s">
        <v>90</v>
      </c>
      <c r="D6" s="3" t="s">
        <v>82</v>
      </c>
    </row>
    <row r="7" spans="1:4" ht="30" x14ac:dyDescent="0.25">
      <c r="A7" s="4" t="s">
        <v>42</v>
      </c>
      <c r="B7" s="4" t="s">
        <v>41</v>
      </c>
      <c r="C7" s="5" t="s">
        <v>124</v>
      </c>
      <c r="D7" s="5" t="s">
        <v>124</v>
      </c>
    </row>
    <row r="8" spans="1:4" ht="30" x14ac:dyDescent="0.25">
      <c r="A8" s="4" t="s">
        <v>47</v>
      </c>
      <c r="B8" s="4" t="s">
        <v>50</v>
      </c>
      <c r="C8" s="5" t="s">
        <v>125</v>
      </c>
      <c r="D8" s="5" t="s">
        <v>125</v>
      </c>
    </row>
    <row r="9" spans="1:4" ht="30" x14ac:dyDescent="0.25">
      <c r="A9" s="4" t="s">
        <v>51</v>
      </c>
      <c r="B9" s="4" t="s">
        <v>55</v>
      </c>
      <c r="C9" s="5" t="s">
        <v>126</v>
      </c>
      <c r="D9" s="5" t="s">
        <v>126</v>
      </c>
    </row>
    <row r="10" spans="1:4" ht="30" x14ac:dyDescent="0.25">
      <c r="A10" s="4" t="s">
        <v>56</v>
      </c>
      <c r="B10" s="4" t="s">
        <v>62</v>
      </c>
      <c r="C10" s="5" t="s">
        <v>127</v>
      </c>
      <c r="D10" s="5" t="s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2ECC71"/>
  </sheetPr>
  <dimension ref="A1:C21"/>
  <sheetViews>
    <sheetView workbookViewId="0">
      <selection activeCell="B9" sqref="B9"/>
    </sheetView>
  </sheetViews>
  <sheetFormatPr baseColWidth="10" defaultColWidth="8.85546875" defaultRowHeight="15" x14ac:dyDescent="0.25"/>
  <cols>
    <col min="1" max="1" width="35" customWidth="1"/>
    <col min="2" max="2" width="20" customWidth="1"/>
    <col min="3" max="3" width="21" customWidth="1"/>
  </cols>
  <sheetData>
    <row r="1" spans="1:3" ht="17.25" x14ac:dyDescent="0.3">
      <c r="A1" s="1" t="s">
        <v>91</v>
      </c>
    </row>
    <row r="3" spans="1:3" x14ac:dyDescent="0.25">
      <c r="A3" s="13" t="s">
        <v>92</v>
      </c>
      <c r="B3" s="13" t="s">
        <v>93</v>
      </c>
    </row>
    <row r="4" spans="1:3" x14ac:dyDescent="0.25">
      <c r="A4" s="14" t="s">
        <v>94</v>
      </c>
      <c r="B4" s="14">
        <v>5</v>
      </c>
    </row>
    <row r="5" spans="1:3" x14ac:dyDescent="0.25">
      <c r="A5" s="14" t="s">
        <v>95</v>
      </c>
      <c r="B5" s="14">
        <v>20</v>
      </c>
    </row>
    <row r="6" spans="1:3" x14ac:dyDescent="0.25">
      <c r="A6" s="14" t="s">
        <v>96</v>
      </c>
      <c r="B6" s="14">
        <v>8</v>
      </c>
    </row>
    <row r="7" spans="1:3" x14ac:dyDescent="0.25">
      <c r="A7" s="14" t="s">
        <v>97</v>
      </c>
      <c r="B7" s="14">
        <v>9</v>
      </c>
    </row>
    <row r="8" spans="1:3" x14ac:dyDescent="0.25">
      <c r="A8" s="14" t="s">
        <v>98</v>
      </c>
      <c r="B8" s="14">
        <v>14</v>
      </c>
    </row>
    <row r="9" spans="1:3" x14ac:dyDescent="0.25">
      <c r="A9" s="14" t="s">
        <v>99</v>
      </c>
      <c r="B9" s="14">
        <v>6</v>
      </c>
    </row>
    <row r="12" spans="1:3" x14ac:dyDescent="0.25">
      <c r="A12" s="2" t="s">
        <v>100</v>
      </c>
    </row>
    <row r="13" spans="1:3" x14ac:dyDescent="0.25">
      <c r="A13" s="15" t="s">
        <v>101</v>
      </c>
      <c r="B13" s="15" t="s">
        <v>102</v>
      </c>
      <c r="C13" s="15" t="s">
        <v>103</v>
      </c>
    </row>
    <row r="14" spans="1:3" x14ac:dyDescent="0.25">
      <c r="A14" s="16" t="s">
        <v>104</v>
      </c>
      <c r="B14" s="17">
        <v>0.2</v>
      </c>
      <c r="C14" s="18">
        <v>20</v>
      </c>
    </row>
    <row r="15" spans="1:3" x14ac:dyDescent="0.25">
      <c r="A15" s="16" t="s">
        <v>105</v>
      </c>
      <c r="B15" s="17">
        <v>0.15</v>
      </c>
      <c r="C15" s="18">
        <v>15</v>
      </c>
    </row>
    <row r="16" spans="1:3" x14ac:dyDescent="0.25">
      <c r="A16" s="16" t="s">
        <v>106</v>
      </c>
      <c r="B16" s="17">
        <v>0.2</v>
      </c>
      <c r="C16" s="18">
        <v>20</v>
      </c>
    </row>
    <row r="17" spans="1:3" x14ac:dyDescent="0.25">
      <c r="A17" s="16" t="s">
        <v>107</v>
      </c>
      <c r="B17" s="17">
        <v>0.15</v>
      </c>
      <c r="C17" s="18">
        <v>15</v>
      </c>
    </row>
    <row r="18" spans="1:3" x14ac:dyDescent="0.25">
      <c r="A18" s="16" t="s">
        <v>108</v>
      </c>
      <c r="B18" s="17">
        <v>0.1</v>
      </c>
      <c r="C18" s="18">
        <v>10</v>
      </c>
    </row>
    <row r="19" spans="1:3" x14ac:dyDescent="0.25">
      <c r="A19" s="16" t="s">
        <v>109</v>
      </c>
      <c r="B19" s="17">
        <v>0.08</v>
      </c>
      <c r="C19" s="18">
        <v>8</v>
      </c>
    </row>
    <row r="20" spans="1:3" x14ac:dyDescent="0.25">
      <c r="A20" s="16" t="s">
        <v>110</v>
      </c>
      <c r="B20" s="17">
        <v>7.0000000000000007E-2</v>
      </c>
      <c r="C20" s="18">
        <v>7.0000000000000009</v>
      </c>
    </row>
    <row r="21" spans="1:3" x14ac:dyDescent="0.25">
      <c r="A21" s="16" t="s">
        <v>111</v>
      </c>
      <c r="B21" s="17">
        <v>0.05</v>
      </c>
      <c r="C21" s="18">
        <v>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853f977-4183-428f-855c-ffe7328b6f13}" enabled="0" method="" siteId="{b853f977-4183-428f-855c-ffe7328b6f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ALTERNATIVAS</vt:lpstr>
      <vt:lpstr>INDICADORES</vt:lpstr>
      <vt:lpstr>VALORES</vt:lpstr>
      <vt:lpstr>Priorización</vt:lpstr>
      <vt:lpstr>OBJETIVOS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Rodríguez Salazar</cp:lastModifiedBy>
  <dcterms:created xsi:type="dcterms:W3CDTF">2026-02-11T09:16:14Z</dcterms:created>
  <dcterms:modified xsi:type="dcterms:W3CDTF">2026-02-18T11:06:33Z</dcterms:modified>
</cp:coreProperties>
</file>